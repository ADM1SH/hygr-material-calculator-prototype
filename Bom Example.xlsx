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92B00BD-FE3B-4082-8C9F-81BF227D139F}" xr6:coauthVersionLast="47" xr6:coauthVersionMax="47" xr10:uidLastSave="{00000000-0000-0000-0000-000000000000}"/>
  <bookViews>
    <workbookView xWindow="-120" yWindow="-120" windowWidth="29040" windowHeight="15720" activeTab="1" xr2:uid="{A59F25F4-54BC-4FC7-815B-C29033F9DAE9}"/>
  </bookViews>
  <sheets>
    <sheet name="bom" sheetId="1" r:id="rId1"/>
    <sheet name="Raw Material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2" l="1"/>
  <c r="G17" i="2" s="1"/>
  <c r="F16" i="2"/>
  <c r="G16" i="2" s="1"/>
  <c r="G9" i="2"/>
  <c r="G10" i="2"/>
  <c r="G11" i="2"/>
  <c r="G15" i="2"/>
  <c r="G2" i="2"/>
  <c r="G8" i="2"/>
  <c r="G12" i="2"/>
  <c r="G5" i="2"/>
  <c r="G13" i="2"/>
  <c r="G3" i="2"/>
  <c r="G4" i="2"/>
  <c r="G6" i="2"/>
  <c r="G7" i="2"/>
  <c r="G14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2" i="1"/>
  <c r="K17" i="1"/>
  <c r="K1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2" i="1"/>
</calcChain>
</file>

<file path=xl/sharedStrings.xml><?xml version="1.0" encoding="utf-8"?>
<sst xmlns="http://schemas.openxmlformats.org/spreadsheetml/2006/main" count="154" uniqueCount="63">
  <si>
    <t>Finished goods</t>
  </si>
  <si>
    <t>RM Code</t>
  </si>
  <si>
    <t>QTY</t>
  </si>
  <si>
    <t>UOM</t>
  </si>
  <si>
    <t>Raw Material</t>
  </si>
  <si>
    <t>Total Output for SFG (GM)</t>
  </si>
  <si>
    <t>FG-LB015/109</t>
  </si>
  <si>
    <t>Black Cherry</t>
  </si>
  <si>
    <t>RM-SS001/005</t>
  </si>
  <si>
    <t>GM</t>
  </si>
  <si>
    <t>KAHLWAX 2039L CANDELILA WAX</t>
  </si>
  <si>
    <t>RM-CO007/054</t>
  </si>
  <si>
    <t>DK-PGT PASTE IOB (BLACK) (5KG/PAIL)</t>
  </si>
  <si>
    <t>RM-L004/011</t>
  </si>
  <si>
    <t>Avocado Oil Cosmetic (23KG/TONG)</t>
  </si>
  <si>
    <t>RM-CO004/043</t>
  </si>
  <si>
    <t>DK-PGT Paste R7 (Red) (5KG/PAIL)</t>
  </si>
  <si>
    <t>RM-CO002/027</t>
  </si>
  <si>
    <t>DK-PGT Paste IOR (Coral) (5KG/PAIL)</t>
  </si>
  <si>
    <t>RM-SS004/020</t>
  </si>
  <si>
    <t>Akogel (20KG/BAG)</t>
  </si>
  <si>
    <t>RM-L005/028</t>
  </si>
  <si>
    <t>Primalhyal Gold (Hyaluronic Acid) (5KG/TONG)</t>
  </si>
  <si>
    <t>RM-SS003/012</t>
  </si>
  <si>
    <t>Beeswax (25KG/DRUM)</t>
  </si>
  <si>
    <t>RM-L001/001</t>
  </si>
  <si>
    <t>Palmester 3595 [MCT Oil] (190KG/Drum)</t>
  </si>
  <si>
    <t>RM-CO003/031</t>
  </si>
  <si>
    <t>DK-PGT Paste Y6L (Orange) (5KG/PAIL)</t>
  </si>
  <si>
    <t>RM-EO006/023</t>
  </si>
  <si>
    <t>Green Mandarin Essential Oil (1KG/BTL)</t>
  </si>
  <si>
    <t>RM-L022/069</t>
  </si>
  <si>
    <t>Jojoba Oil Golden (23KG/TONG)</t>
  </si>
  <si>
    <t>RM-L003/010</t>
  </si>
  <si>
    <t>Vitamin E Acetate - Care (5KG/TONG)</t>
  </si>
  <si>
    <t>RM-SS007/075</t>
  </si>
  <si>
    <t>Shea Butter Refined TYP EPR (25KG/CTN)</t>
  </si>
  <si>
    <t>PM-T031/277</t>
  </si>
  <si>
    <t>PCS</t>
  </si>
  <si>
    <t>Tube - Lip Balm Paper (Black Cherry) 5g</t>
  </si>
  <si>
    <t>PM-BO101/247</t>
  </si>
  <si>
    <t>Unitbox - Lip Balm Paper (Black Cherry) 5g</t>
  </si>
  <si>
    <t>FG CODE</t>
  </si>
  <si>
    <t>UNIT SIZE</t>
  </si>
  <si>
    <t>RM USAGE BY PCS (GM)</t>
  </si>
  <si>
    <t>RM USAGE BY 1000g</t>
  </si>
  <si>
    <t>THE UNIT SIZE OF ITEM</t>
  </si>
  <si>
    <t>MATERIAL MAKE UP PER PCS</t>
  </si>
  <si>
    <t>MATERIAL USAGE PER KG</t>
  </si>
  <si>
    <t>PLAN BY KG</t>
  </si>
  <si>
    <t>PLAN BY PCS</t>
  </si>
  <si>
    <t>RM USAGE BY QTY</t>
  </si>
  <si>
    <t>Code</t>
  </si>
  <si>
    <t>Description</t>
  </si>
  <si>
    <t>Stock on hand (kg)</t>
  </si>
  <si>
    <t>Type</t>
  </si>
  <si>
    <t>ACTIVE</t>
  </si>
  <si>
    <t>Order lead time (day)</t>
  </si>
  <si>
    <t>Production Plan Use</t>
  </si>
  <si>
    <t>Expected balance after Production</t>
  </si>
  <si>
    <t>Subgroup</t>
  </si>
  <si>
    <t>Primary Packaging</t>
  </si>
  <si>
    <t>Unitbox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</si>
</sst>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3" fontId="5" fillId="0" borderId="4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4" xfId="0" applyFont="1" applyBorder="1" applyAlignment="1"/>
    <xf numFmtId="0" fontId="4" fillId="0" borderId="4" xfId="0" applyFont="1" applyBorder="1" applyAlignment="1"/>
    <xf numFmtId="3" fontId="5" fillId="0" borderId="0" xfId="0" applyNumberFormat="1" applyFont="1" applyBorder="1" applyAlignment="1">
      <alignment horizontal="right"/>
    </xf>
    <xf numFmtId="169" fontId="0" fillId="0" borderId="0" xfId="0" applyNumberFormat="1"/>
    <xf numFmtId="2" fontId="0" fillId="0" borderId="0" xfId="0" applyNumberFormat="1"/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2" xfId="0" applyFont="1" applyFill="1" applyBorder="1" applyAlignment="1"/>
    <xf numFmtId="0" fontId="3" fillId="2" borderId="2" xfId="0" applyFont="1" applyFill="1" applyBorder="1" applyAlignment="1"/>
    <xf numFmtId="0" fontId="3" fillId="2" borderId="6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0" fillId="0" borderId="0" xfId="0" applyAlignment="1">
      <alignment horizontal="right"/>
    </xf>
    <xf numFmtId="0" fontId="5" fillId="0" borderId="0" xfId="0" applyFont="1" applyBorder="1" applyAlignme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0E5B-C500-4FC8-860E-A940042E13DB}">
  <dimension ref="A1:N20"/>
  <sheetViews>
    <sheetView workbookViewId="0">
      <selection activeCell="F19" sqref="F19"/>
    </sheetView>
  </sheetViews>
  <sheetFormatPr defaultRowHeight="15" x14ac:dyDescent="0.25"/>
  <cols>
    <col min="1" max="1" width="22.42578125" customWidth="1"/>
    <col min="2" max="2" width="22.28515625" customWidth="1"/>
    <col min="3" max="3" width="22" customWidth="1"/>
    <col min="4" max="4" width="10.140625" customWidth="1"/>
    <col min="5" max="5" width="7.7109375" customWidth="1"/>
    <col min="6" max="6" width="44.42578125" customWidth="1"/>
    <col min="7" max="7" width="26.7109375" customWidth="1"/>
    <col min="8" max="8" width="15" customWidth="1"/>
    <col min="9" max="9" width="21.28515625" customWidth="1"/>
    <col min="10" max="11" width="19" customWidth="1"/>
    <col min="12" max="12" width="10.140625" customWidth="1"/>
    <col min="14" max="14" width="16.85546875" customWidth="1"/>
  </cols>
  <sheetData>
    <row r="1" spans="1:14" ht="15.75" thickBot="1" x14ac:dyDescent="0.3">
      <c r="A1" s="10" t="s">
        <v>42</v>
      </c>
      <c r="B1" s="11" t="s">
        <v>0</v>
      </c>
      <c r="C1" s="12" t="s">
        <v>1</v>
      </c>
      <c r="D1" s="11" t="s">
        <v>2</v>
      </c>
      <c r="E1" s="13" t="s">
        <v>3</v>
      </c>
      <c r="F1" s="13" t="s">
        <v>4</v>
      </c>
      <c r="G1" s="14" t="s">
        <v>5</v>
      </c>
      <c r="H1" s="15" t="s">
        <v>43</v>
      </c>
      <c r="I1" s="16" t="s">
        <v>44</v>
      </c>
      <c r="J1" s="16" t="s">
        <v>51</v>
      </c>
      <c r="K1" s="16" t="s">
        <v>45</v>
      </c>
    </row>
    <row r="2" spans="1:14" ht="15.75" thickBot="1" x14ac:dyDescent="0.3">
      <c r="A2" s="1" t="s">
        <v>6</v>
      </c>
      <c r="B2" s="5" t="s">
        <v>7</v>
      </c>
      <c r="C2" s="6" t="s">
        <v>8</v>
      </c>
      <c r="D2" s="2">
        <v>81</v>
      </c>
      <c r="E2" s="5" t="s">
        <v>9</v>
      </c>
      <c r="F2" s="5" t="s">
        <v>10</v>
      </c>
      <c r="G2" s="3">
        <v>1500</v>
      </c>
      <c r="H2" s="7">
        <v>5</v>
      </c>
      <c r="I2" s="8">
        <f>(D2/G2)*H2</f>
        <v>0.27</v>
      </c>
      <c r="J2" s="8">
        <f>I2*$N$7</f>
        <v>108</v>
      </c>
      <c r="K2" s="9">
        <f>(D2/G2)*$N$4</f>
        <v>324</v>
      </c>
    </row>
    <row r="3" spans="1:14" ht="15.75" thickBot="1" x14ac:dyDescent="0.3">
      <c r="A3" s="1" t="s">
        <v>6</v>
      </c>
      <c r="B3" s="5" t="s">
        <v>7</v>
      </c>
      <c r="C3" s="6" t="s">
        <v>11</v>
      </c>
      <c r="D3" s="2">
        <v>16</v>
      </c>
      <c r="E3" s="5" t="s">
        <v>9</v>
      </c>
      <c r="F3" s="5" t="s">
        <v>12</v>
      </c>
      <c r="G3" s="3">
        <v>1500</v>
      </c>
      <c r="H3" s="7">
        <v>5</v>
      </c>
      <c r="I3" s="8">
        <f t="shared" ref="I3:I15" si="0">(D3/G3)*H3</f>
        <v>5.333333333333333E-2</v>
      </c>
      <c r="J3" s="8">
        <f t="shared" ref="J3:J17" si="1">I3*$N$7</f>
        <v>21.333333333333332</v>
      </c>
      <c r="K3" s="9">
        <f>(D3/G3)*$N$4</f>
        <v>64</v>
      </c>
      <c r="N3" t="s">
        <v>49</v>
      </c>
    </row>
    <row r="4" spans="1:14" ht="15.75" thickBot="1" x14ac:dyDescent="0.3">
      <c r="A4" s="1" t="s">
        <v>6</v>
      </c>
      <c r="B4" s="5" t="s">
        <v>7</v>
      </c>
      <c r="C4" s="6" t="s">
        <v>13</v>
      </c>
      <c r="D4" s="2">
        <v>231</v>
      </c>
      <c r="E4" s="5" t="s">
        <v>9</v>
      </c>
      <c r="F4" s="5" t="s">
        <v>14</v>
      </c>
      <c r="G4" s="3">
        <v>1500</v>
      </c>
      <c r="H4" s="7">
        <v>5</v>
      </c>
      <c r="I4" s="8">
        <f t="shared" si="0"/>
        <v>0.77</v>
      </c>
      <c r="J4" s="8">
        <f t="shared" si="1"/>
        <v>308</v>
      </c>
      <c r="K4" s="9">
        <f>(D4/G4)*$N$4</f>
        <v>924</v>
      </c>
      <c r="N4">
        <v>6000</v>
      </c>
    </row>
    <row r="5" spans="1:14" ht="15.75" thickBot="1" x14ac:dyDescent="0.3">
      <c r="A5" s="1" t="s">
        <v>6</v>
      </c>
      <c r="B5" s="5" t="s">
        <v>7</v>
      </c>
      <c r="C5" s="6" t="s">
        <v>15</v>
      </c>
      <c r="D5" s="2">
        <v>16</v>
      </c>
      <c r="E5" s="5" t="s">
        <v>9</v>
      </c>
      <c r="F5" s="5" t="s">
        <v>16</v>
      </c>
      <c r="G5" s="3">
        <v>1500</v>
      </c>
      <c r="H5" s="7">
        <v>5</v>
      </c>
      <c r="I5" s="8">
        <f t="shared" si="0"/>
        <v>5.333333333333333E-2</v>
      </c>
      <c r="J5" s="8">
        <f t="shared" si="1"/>
        <v>21.333333333333332</v>
      </c>
      <c r="K5" s="9">
        <f>(D5/G5)*$N$4</f>
        <v>64</v>
      </c>
    </row>
    <row r="6" spans="1:14" ht="15.75" thickBot="1" x14ac:dyDescent="0.3">
      <c r="A6" s="1" t="s">
        <v>6</v>
      </c>
      <c r="B6" s="5" t="s">
        <v>7</v>
      </c>
      <c r="C6" s="6" t="s">
        <v>17</v>
      </c>
      <c r="D6" s="2">
        <v>7</v>
      </c>
      <c r="E6" s="5" t="s">
        <v>9</v>
      </c>
      <c r="F6" s="5" t="s">
        <v>18</v>
      </c>
      <c r="G6" s="3">
        <v>1500</v>
      </c>
      <c r="H6" s="7">
        <v>5</v>
      </c>
      <c r="I6" s="8">
        <f t="shared" si="0"/>
        <v>2.3333333333333334E-2</v>
      </c>
      <c r="J6" s="8">
        <f t="shared" si="1"/>
        <v>9.3333333333333339</v>
      </c>
      <c r="K6" s="9">
        <f>(D6/G6)*$N$4</f>
        <v>28.000000000000004</v>
      </c>
      <c r="N6" t="s">
        <v>50</v>
      </c>
    </row>
    <row r="7" spans="1:14" ht="15.75" thickBot="1" x14ac:dyDescent="0.3">
      <c r="A7" s="1" t="s">
        <v>6</v>
      </c>
      <c r="B7" s="5" t="s">
        <v>7</v>
      </c>
      <c r="C7" s="6" t="s">
        <v>19</v>
      </c>
      <c r="D7" s="2">
        <v>68</v>
      </c>
      <c r="E7" s="5" t="s">
        <v>9</v>
      </c>
      <c r="F7" s="5" t="s">
        <v>20</v>
      </c>
      <c r="G7" s="3">
        <v>1500</v>
      </c>
      <c r="H7" s="7">
        <v>5</v>
      </c>
      <c r="I7" s="8">
        <f t="shared" si="0"/>
        <v>0.22666666666666668</v>
      </c>
      <c r="J7" s="8">
        <f t="shared" si="1"/>
        <v>90.666666666666671</v>
      </c>
      <c r="K7" s="9">
        <f>(D7/G7)*$N$4</f>
        <v>272</v>
      </c>
      <c r="N7">
        <v>400</v>
      </c>
    </row>
    <row r="8" spans="1:14" ht="15.75" thickBot="1" x14ac:dyDescent="0.3">
      <c r="A8" s="1" t="s">
        <v>6</v>
      </c>
      <c r="B8" s="5" t="s">
        <v>7</v>
      </c>
      <c r="C8" s="6" t="s">
        <v>21</v>
      </c>
      <c r="D8" s="2">
        <v>68</v>
      </c>
      <c r="E8" s="5" t="s">
        <v>9</v>
      </c>
      <c r="F8" s="5" t="s">
        <v>22</v>
      </c>
      <c r="G8" s="3">
        <v>1500</v>
      </c>
      <c r="H8" s="7">
        <v>5</v>
      </c>
      <c r="I8" s="8">
        <f t="shared" si="0"/>
        <v>0.22666666666666668</v>
      </c>
      <c r="J8" s="8">
        <f t="shared" si="1"/>
        <v>90.666666666666671</v>
      </c>
      <c r="K8" s="9">
        <f>(D8/G8)*$N$4</f>
        <v>272</v>
      </c>
    </row>
    <row r="9" spans="1:14" ht="15.75" thickBot="1" x14ac:dyDescent="0.3">
      <c r="A9" s="1" t="s">
        <v>6</v>
      </c>
      <c r="B9" s="5" t="s">
        <v>7</v>
      </c>
      <c r="C9" s="6" t="s">
        <v>23</v>
      </c>
      <c r="D9" s="2">
        <v>271</v>
      </c>
      <c r="E9" s="5" t="s">
        <v>9</v>
      </c>
      <c r="F9" s="5" t="s">
        <v>24</v>
      </c>
      <c r="G9" s="3">
        <v>1500</v>
      </c>
      <c r="H9" s="7">
        <v>5</v>
      </c>
      <c r="I9" s="8">
        <f t="shared" si="0"/>
        <v>0.90333333333333332</v>
      </c>
      <c r="J9" s="8">
        <f t="shared" si="1"/>
        <v>361.33333333333331</v>
      </c>
      <c r="K9" s="9">
        <f>(D9/G9)*$N$4</f>
        <v>1084</v>
      </c>
    </row>
    <row r="10" spans="1:14" ht="15.75" thickBot="1" x14ac:dyDescent="0.3">
      <c r="A10" s="1" t="s">
        <v>6</v>
      </c>
      <c r="B10" s="5" t="s">
        <v>7</v>
      </c>
      <c r="C10" s="6" t="s">
        <v>25</v>
      </c>
      <c r="D10" s="2">
        <v>337</v>
      </c>
      <c r="E10" s="5" t="s">
        <v>9</v>
      </c>
      <c r="F10" s="5" t="s">
        <v>26</v>
      </c>
      <c r="G10" s="3">
        <v>1500</v>
      </c>
      <c r="H10" s="7">
        <v>5</v>
      </c>
      <c r="I10" s="8">
        <f t="shared" si="0"/>
        <v>1.1233333333333333</v>
      </c>
      <c r="J10" s="8">
        <f t="shared" si="1"/>
        <v>449.33333333333331</v>
      </c>
      <c r="K10" s="9">
        <f>(D10/G10)*$N$4</f>
        <v>1348</v>
      </c>
    </row>
    <row r="11" spans="1:14" ht="15.75" thickBot="1" x14ac:dyDescent="0.3">
      <c r="A11" s="1" t="s">
        <v>6</v>
      </c>
      <c r="B11" s="5" t="s">
        <v>7</v>
      </c>
      <c r="C11" s="6" t="s">
        <v>27</v>
      </c>
      <c r="D11" s="2">
        <v>34</v>
      </c>
      <c r="E11" s="5" t="s">
        <v>9</v>
      </c>
      <c r="F11" s="5" t="s">
        <v>28</v>
      </c>
      <c r="G11" s="3">
        <v>1500</v>
      </c>
      <c r="H11" s="7">
        <v>5</v>
      </c>
      <c r="I11" s="8">
        <f t="shared" si="0"/>
        <v>0.11333333333333334</v>
      </c>
      <c r="J11" s="8">
        <f t="shared" si="1"/>
        <v>45.333333333333336</v>
      </c>
      <c r="K11" s="9">
        <f>(D11/G11)*$N$4</f>
        <v>136</v>
      </c>
    </row>
    <row r="12" spans="1:14" ht="15.75" thickBot="1" x14ac:dyDescent="0.3">
      <c r="A12" s="1" t="s">
        <v>6</v>
      </c>
      <c r="B12" s="5" t="s">
        <v>7</v>
      </c>
      <c r="C12" s="6" t="s">
        <v>29</v>
      </c>
      <c r="D12" s="2">
        <v>24</v>
      </c>
      <c r="E12" s="5" t="s">
        <v>9</v>
      </c>
      <c r="F12" s="5" t="s">
        <v>30</v>
      </c>
      <c r="G12" s="3">
        <v>1500</v>
      </c>
      <c r="H12" s="7">
        <v>5</v>
      </c>
      <c r="I12" s="8">
        <f t="shared" si="0"/>
        <v>0.08</v>
      </c>
      <c r="J12" s="8">
        <f t="shared" si="1"/>
        <v>32</v>
      </c>
      <c r="K12" s="9">
        <f>(D12/G12)*$N$4</f>
        <v>96</v>
      </c>
    </row>
    <row r="13" spans="1:14" ht="15.75" thickBot="1" x14ac:dyDescent="0.3">
      <c r="A13" s="1" t="s">
        <v>6</v>
      </c>
      <c r="B13" s="5" t="s">
        <v>7</v>
      </c>
      <c r="C13" s="6" t="s">
        <v>31</v>
      </c>
      <c r="D13" s="2">
        <v>231</v>
      </c>
      <c r="E13" s="5" t="s">
        <v>9</v>
      </c>
      <c r="F13" s="5" t="s">
        <v>32</v>
      </c>
      <c r="G13" s="3">
        <v>1500</v>
      </c>
      <c r="H13" s="7">
        <v>5</v>
      </c>
      <c r="I13" s="8">
        <f t="shared" si="0"/>
        <v>0.77</v>
      </c>
      <c r="J13" s="8">
        <f t="shared" si="1"/>
        <v>308</v>
      </c>
      <c r="K13" s="9">
        <f>(D13/G13)*$N$4</f>
        <v>924</v>
      </c>
    </row>
    <row r="14" spans="1:14" ht="15.75" thickBot="1" x14ac:dyDescent="0.3">
      <c r="A14" s="1" t="s">
        <v>6</v>
      </c>
      <c r="B14" s="5" t="s">
        <v>7</v>
      </c>
      <c r="C14" s="6" t="s">
        <v>33</v>
      </c>
      <c r="D14" s="2">
        <v>14</v>
      </c>
      <c r="E14" s="5" t="s">
        <v>9</v>
      </c>
      <c r="F14" s="5" t="s">
        <v>34</v>
      </c>
      <c r="G14" s="3">
        <v>1500</v>
      </c>
      <c r="H14" s="7">
        <v>5</v>
      </c>
      <c r="I14" s="8">
        <f t="shared" si="0"/>
        <v>4.6666666666666669E-2</v>
      </c>
      <c r="J14" s="8">
        <f t="shared" si="1"/>
        <v>18.666666666666668</v>
      </c>
      <c r="K14" s="9">
        <f>(D14/G14)*$N$4</f>
        <v>56.000000000000007</v>
      </c>
    </row>
    <row r="15" spans="1:14" ht="15.75" thickBot="1" x14ac:dyDescent="0.3">
      <c r="A15" s="1" t="s">
        <v>6</v>
      </c>
      <c r="B15" s="5" t="s">
        <v>7</v>
      </c>
      <c r="C15" s="6" t="s">
        <v>35</v>
      </c>
      <c r="D15" s="2">
        <v>102</v>
      </c>
      <c r="E15" s="5" t="s">
        <v>9</v>
      </c>
      <c r="F15" s="5" t="s">
        <v>36</v>
      </c>
      <c r="G15" s="3">
        <v>1500</v>
      </c>
      <c r="H15" s="7">
        <v>5</v>
      </c>
      <c r="I15" s="8">
        <f t="shared" si="0"/>
        <v>0.34</v>
      </c>
      <c r="J15" s="8">
        <f t="shared" si="1"/>
        <v>136</v>
      </c>
      <c r="K15" s="9">
        <f>(D15/G15)*$N$4</f>
        <v>408.00000000000006</v>
      </c>
    </row>
    <row r="16" spans="1:14" ht="15.75" thickBot="1" x14ac:dyDescent="0.3">
      <c r="A16" s="1" t="s">
        <v>6</v>
      </c>
      <c r="B16" s="5" t="s">
        <v>7</v>
      </c>
      <c r="C16" s="6" t="s">
        <v>37</v>
      </c>
      <c r="D16" s="2">
        <v>1</v>
      </c>
      <c r="E16" s="5" t="s">
        <v>38</v>
      </c>
      <c r="F16" s="5" t="s">
        <v>39</v>
      </c>
      <c r="G16" s="4">
        <v>1</v>
      </c>
      <c r="H16" s="7">
        <v>5</v>
      </c>
      <c r="I16" s="8">
        <v>1</v>
      </c>
      <c r="J16" s="8">
        <f t="shared" si="1"/>
        <v>400</v>
      </c>
      <c r="K16" s="9">
        <f>$N$4/H16</f>
        <v>1200</v>
      </c>
    </row>
    <row r="17" spans="1:12" ht="15.75" thickBot="1" x14ac:dyDescent="0.3">
      <c r="A17" s="1" t="s">
        <v>6</v>
      </c>
      <c r="B17" s="5" t="s">
        <v>7</v>
      </c>
      <c r="C17" s="6" t="s">
        <v>40</v>
      </c>
      <c r="D17" s="2">
        <v>1</v>
      </c>
      <c r="E17" s="5" t="s">
        <v>38</v>
      </c>
      <c r="F17" s="5" t="s">
        <v>41</v>
      </c>
      <c r="G17" s="4">
        <v>1</v>
      </c>
      <c r="H17" s="7">
        <v>5</v>
      </c>
      <c r="I17" s="8">
        <v>1</v>
      </c>
      <c r="J17" s="8">
        <f t="shared" si="1"/>
        <v>400</v>
      </c>
      <c r="K17" s="9">
        <f>$N$4/H17</f>
        <v>1200</v>
      </c>
    </row>
    <row r="18" spans="1:12" x14ac:dyDescent="0.25">
      <c r="H18" s="17"/>
    </row>
    <row r="19" spans="1:12" ht="30" x14ac:dyDescent="0.25">
      <c r="H19" s="20" t="s">
        <v>46</v>
      </c>
      <c r="I19" s="20" t="s">
        <v>47</v>
      </c>
      <c r="J19" s="20"/>
      <c r="K19" s="20" t="s">
        <v>48</v>
      </c>
      <c r="L19" s="19"/>
    </row>
    <row r="20" spans="1:12" x14ac:dyDescent="0.25">
      <c r="H20" s="19"/>
      <c r="I20" s="19"/>
      <c r="J20" s="19"/>
      <c r="K20" s="19"/>
      <c r="L20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2B982-4668-47F9-93F9-F2E4097B0B0E}">
  <dimension ref="A1:H17"/>
  <sheetViews>
    <sheetView tabSelected="1" workbookViewId="0">
      <selection activeCell="G7" sqref="G7"/>
    </sheetView>
  </sheetViews>
  <sheetFormatPr defaultRowHeight="15" x14ac:dyDescent="0.25"/>
  <cols>
    <col min="1" max="1" width="20.85546875" customWidth="1"/>
    <col min="2" max="2" width="43.28515625" customWidth="1"/>
    <col min="3" max="3" width="11.42578125" customWidth="1"/>
    <col min="4" max="4" width="21" customWidth="1"/>
    <col min="5" max="5" width="19.5703125" customWidth="1"/>
    <col min="6" max="6" width="20.7109375" customWidth="1"/>
    <col min="7" max="7" width="37" customWidth="1"/>
    <col min="8" max="8" width="17.7109375" customWidth="1"/>
  </cols>
  <sheetData>
    <row r="1" spans="1:8" ht="15.75" thickBot="1" x14ac:dyDescent="0.3">
      <c r="A1" t="s">
        <v>52</v>
      </c>
      <c r="B1" t="s">
        <v>53</v>
      </c>
      <c r="C1" t="s">
        <v>55</v>
      </c>
      <c r="D1" t="s">
        <v>57</v>
      </c>
      <c r="E1" t="s">
        <v>54</v>
      </c>
      <c r="F1" t="s">
        <v>58</v>
      </c>
      <c r="G1" t="s">
        <v>59</v>
      </c>
      <c r="H1" t="s">
        <v>60</v>
      </c>
    </row>
    <row r="2" spans="1:8" ht="15.75" thickBot="1" x14ac:dyDescent="0.3">
      <c r="A2" s="6" t="s">
        <v>8</v>
      </c>
      <c r="B2" s="5" t="s">
        <v>10</v>
      </c>
      <c r="C2" s="18" t="s">
        <v>56</v>
      </c>
      <c r="D2" s="18">
        <v>134</v>
      </c>
      <c r="E2" s="8">
        <v>125.28</v>
      </c>
      <c r="F2" s="8">
        <f>_xlfn.XLOOKUP(A2,bom!C:C,bom!J:J,0,0,1)/1000</f>
        <v>0.108</v>
      </c>
      <c r="G2" s="8">
        <f>E2-F2</f>
        <v>125.172</v>
      </c>
    </row>
    <row r="3" spans="1:8" ht="15.75" thickBot="1" x14ac:dyDescent="0.3">
      <c r="A3" s="6" t="s">
        <v>11</v>
      </c>
      <c r="B3" s="5" t="s">
        <v>12</v>
      </c>
      <c r="C3" s="18" t="s">
        <v>56</v>
      </c>
      <c r="D3" s="18">
        <v>104</v>
      </c>
      <c r="E3" s="8">
        <v>4.3499999999999996</v>
      </c>
      <c r="F3" s="8">
        <f>_xlfn.XLOOKUP(A3,bom!C:C,bom!J:J,0,0,1)/1000</f>
        <v>2.1333333333333333E-2</v>
      </c>
      <c r="G3" s="8">
        <f t="shared" ref="G3:G17" si="0">E3-F3</f>
        <v>4.328666666666666</v>
      </c>
    </row>
    <row r="4" spans="1:8" ht="15.75" thickBot="1" x14ac:dyDescent="0.3">
      <c r="A4" s="6" t="s">
        <v>13</v>
      </c>
      <c r="B4" s="5" t="s">
        <v>14</v>
      </c>
      <c r="C4" s="18" t="s">
        <v>56</v>
      </c>
      <c r="D4" s="18">
        <v>30</v>
      </c>
      <c r="E4" s="8">
        <v>23</v>
      </c>
      <c r="F4" s="8">
        <f>_xlfn.XLOOKUP(A4,bom!C:C,bom!J:J,0,0,1)/1000</f>
        <v>0.308</v>
      </c>
      <c r="G4" s="8">
        <f t="shared" si="0"/>
        <v>22.692</v>
      </c>
    </row>
    <row r="5" spans="1:8" ht="15.75" thickBot="1" x14ac:dyDescent="0.3">
      <c r="A5" s="6" t="s">
        <v>15</v>
      </c>
      <c r="B5" s="5" t="s">
        <v>16</v>
      </c>
      <c r="C5" s="18" t="s">
        <v>56</v>
      </c>
      <c r="D5" s="18">
        <v>194</v>
      </c>
      <c r="E5" s="8">
        <v>7.5</v>
      </c>
      <c r="F5" s="8">
        <f>_xlfn.XLOOKUP(A5,bom!C:C,bom!J:J,0,0,1)/1000</f>
        <v>2.1333333333333333E-2</v>
      </c>
      <c r="G5" s="8">
        <f t="shared" si="0"/>
        <v>7.4786666666666664</v>
      </c>
    </row>
    <row r="6" spans="1:8" ht="15.75" thickBot="1" x14ac:dyDescent="0.3">
      <c r="A6" s="6" t="s">
        <v>17</v>
      </c>
      <c r="B6" s="5" t="s">
        <v>18</v>
      </c>
      <c r="C6" s="18" t="s">
        <v>56</v>
      </c>
      <c r="D6" s="18">
        <v>104</v>
      </c>
      <c r="E6" s="8">
        <v>75</v>
      </c>
      <c r="F6" s="8">
        <f>_xlfn.XLOOKUP(A6,bom!C:C,bom!J:J,0,0,1)/1000</f>
        <v>9.3333333333333341E-3</v>
      </c>
      <c r="G6" s="8">
        <f t="shared" si="0"/>
        <v>74.990666666666669</v>
      </c>
    </row>
    <row r="7" spans="1:8" ht="15.75" thickBot="1" x14ac:dyDescent="0.3">
      <c r="A7" s="6" t="s">
        <v>19</v>
      </c>
      <c r="B7" s="5" t="s">
        <v>20</v>
      </c>
      <c r="C7" s="18" t="s">
        <v>56</v>
      </c>
      <c r="D7" s="18">
        <v>74</v>
      </c>
      <c r="E7" s="8">
        <v>33.68</v>
      </c>
      <c r="F7" s="8">
        <f>_xlfn.XLOOKUP(A7,bom!C:C,bom!J:J,0,0,1)/1000</f>
        <v>9.0666666666666673E-2</v>
      </c>
      <c r="G7" s="8">
        <f t="shared" si="0"/>
        <v>33.589333333333336</v>
      </c>
    </row>
    <row r="8" spans="1:8" ht="15.75" thickBot="1" x14ac:dyDescent="0.3">
      <c r="A8" s="6" t="s">
        <v>21</v>
      </c>
      <c r="B8" s="5" t="s">
        <v>22</v>
      </c>
      <c r="C8" s="18" t="s">
        <v>56</v>
      </c>
      <c r="D8" s="18">
        <v>30</v>
      </c>
      <c r="E8" s="8">
        <v>10.237</v>
      </c>
      <c r="F8" s="8">
        <f>_xlfn.XLOOKUP(A8,bom!C:C,bom!J:J,0,0,1)/1000</f>
        <v>9.0666666666666673E-2</v>
      </c>
      <c r="G8" s="8">
        <f t="shared" si="0"/>
        <v>10.146333333333333</v>
      </c>
    </row>
    <row r="9" spans="1:8" ht="15.75" thickBot="1" x14ac:dyDescent="0.3">
      <c r="A9" s="6" t="s">
        <v>23</v>
      </c>
      <c r="B9" s="5" t="s">
        <v>24</v>
      </c>
      <c r="C9" s="18" t="s">
        <v>56</v>
      </c>
      <c r="D9" s="18">
        <v>30</v>
      </c>
      <c r="E9" s="8">
        <v>103.46</v>
      </c>
      <c r="F9" s="8">
        <f>_xlfn.XLOOKUP(A9,bom!C:C,bom!J:J,0,0,1)/1000</f>
        <v>0.36133333333333334</v>
      </c>
      <c r="G9" s="8">
        <f t="shared" si="0"/>
        <v>103.09866666666666</v>
      </c>
    </row>
    <row r="10" spans="1:8" ht="15.75" thickBot="1" x14ac:dyDescent="0.3">
      <c r="A10" s="6" t="s">
        <v>25</v>
      </c>
      <c r="B10" s="5" t="s">
        <v>26</v>
      </c>
      <c r="C10" s="18" t="s">
        <v>56</v>
      </c>
      <c r="D10" s="18">
        <v>30</v>
      </c>
      <c r="E10" s="8">
        <v>424.22500000000002</v>
      </c>
      <c r="F10" s="8">
        <f>_xlfn.XLOOKUP(A10,bom!C:C,bom!J:J,0,0,1)/1000</f>
        <v>0.44933333333333331</v>
      </c>
      <c r="G10" s="8">
        <f t="shared" si="0"/>
        <v>423.77566666666667</v>
      </c>
    </row>
    <row r="11" spans="1:8" ht="15.75" thickBot="1" x14ac:dyDescent="0.3">
      <c r="A11" s="6" t="s">
        <v>27</v>
      </c>
      <c r="B11" s="5" t="s">
        <v>28</v>
      </c>
      <c r="C11" s="18" t="s">
        <v>56</v>
      </c>
      <c r="D11" s="18">
        <v>0</v>
      </c>
      <c r="E11" s="8">
        <v>34.11</v>
      </c>
      <c r="F11" s="8">
        <f>_xlfn.XLOOKUP(A11,bom!C:C,bom!J:J,0,0,1)/1000</f>
        <v>4.5333333333333337E-2</v>
      </c>
      <c r="G11" s="8">
        <f t="shared" si="0"/>
        <v>34.064666666666668</v>
      </c>
    </row>
    <row r="12" spans="1:8" ht="15.75" thickBot="1" x14ac:dyDescent="0.3">
      <c r="A12" s="6" t="s">
        <v>29</v>
      </c>
      <c r="B12" s="5" t="s">
        <v>30</v>
      </c>
      <c r="C12" s="18" t="s">
        <v>56</v>
      </c>
      <c r="D12" s="18">
        <v>56</v>
      </c>
      <c r="E12" s="8">
        <v>6.66</v>
      </c>
      <c r="F12" s="8">
        <f>_xlfn.XLOOKUP(A12,bom!C:C,bom!J:J,0,0,1)/1000</f>
        <v>3.2000000000000001E-2</v>
      </c>
      <c r="G12" s="8">
        <f t="shared" si="0"/>
        <v>6.6280000000000001</v>
      </c>
    </row>
    <row r="13" spans="1:8" ht="15.75" thickBot="1" x14ac:dyDescent="0.3">
      <c r="A13" s="6" t="s">
        <v>31</v>
      </c>
      <c r="B13" s="5" t="s">
        <v>32</v>
      </c>
      <c r="C13" s="18" t="s">
        <v>56</v>
      </c>
      <c r="D13" s="18">
        <v>30</v>
      </c>
      <c r="E13" s="8">
        <v>35.549999999999997</v>
      </c>
      <c r="F13" s="8">
        <f>_xlfn.XLOOKUP(A13,bom!C:C,bom!J:J,0,0,1)/1000</f>
        <v>0.308</v>
      </c>
      <c r="G13" s="8">
        <f t="shared" si="0"/>
        <v>35.241999999999997</v>
      </c>
    </row>
    <row r="14" spans="1:8" ht="15.75" thickBot="1" x14ac:dyDescent="0.3">
      <c r="A14" s="6" t="s">
        <v>33</v>
      </c>
      <c r="B14" s="5" t="s">
        <v>34</v>
      </c>
      <c r="C14" s="18" t="s">
        <v>56</v>
      </c>
      <c r="D14" s="18">
        <v>74</v>
      </c>
      <c r="E14" s="8">
        <v>135</v>
      </c>
      <c r="F14" s="8">
        <f>_xlfn.XLOOKUP(A14,bom!C:C,bom!J:J,0,0,1)/1000</f>
        <v>1.8666666666666668E-2</v>
      </c>
      <c r="G14" s="8">
        <f t="shared" si="0"/>
        <v>134.98133333333334</v>
      </c>
    </row>
    <row r="15" spans="1:8" ht="15.75" thickBot="1" x14ac:dyDescent="0.3">
      <c r="A15" s="6" t="s">
        <v>35</v>
      </c>
      <c r="B15" s="5" t="s">
        <v>36</v>
      </c>
      <c r="C15" s="18" t="s">
        <v>56</v>
      </c>
      <c r="D15" s="18">
        <v>120</v>
      </c>
      <c r="E15" s="8">
        <v>377.98</v>
      </c>
      <c r="F15" s="8">
        <f>_xlfn.XLOOKUP(A15,bom!C:C,bom!J:J,0,0,1)/1000</f>
        <v>0.13600000000000001</v>
      </c>
      <c r="G15" s="8">
        <f t="shared" si="0"/>
        <v>377.84399999999999</v>
      </c>
    </row>
    <row r="16" spans="1:8" ht="15.75" thickBot="1" x14ac:dyDescent="0.3">
      <c r="A16" s="6" t="s">
        <v>37</v>
      </c>
      <c r="B16" s="5" t="s">
        <v>39</v>
      </c>
      <c r="C16" s="18" t="s">
        <v>56</v>
      </c>
      <c r="D16" s="18">
        <v>65</v>
      </c>
      <c r="E16" s="8">
        <v>21721</v>
      </c>
      <c r="F16" s="8">
        <f>_xlfn.XLOOKUP(A16,bom!C:C,bom!J:J,0,0,1)</f>
        <v>400</v>
      </c>
      <c r="G16" s="8">
        <f t="shared" si="0"/>
        <v>21321</v>
      </c>
      <c r="H16" t="s">
        <v>61</v>
      </c>
    </row>
    <row r="17" spans="1:8" ht="15.75" thickBot="1" x14ac:dyDescent="0.3">
      <c r="A17" s="6" t="s">
        <v>40</v>
      </c>
      <c r="B17" s="5" t="s">
        <v>41</v>
      </c>
      <c r="C17" s="18" t="s">
        <v>56</v>
      </c>
      <c r="D17" s="18">
        <v>30</v>
      </c>
      <c r="E17" s="8">
        <v>9826</v>
      </c>
      <c r="F17" s="8">
        <f>_xlfn.XLOOKUP(A17,bom!C:C,bom!J:J,0,0,1)</f>
        <v>400</v>
      </c>
      <c r="G17" s="8">
        <f t="shared" si="0"/>
        <v>9426</v>
      </c>
      <c r="H1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Raw Material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hygr my</dc:creator>
  <cp:lastModifiedBy>hygr my</cp:lastModifiedBy>
  <dcterms:created xsi:type="dcterms:W3CDTF">2026-08-17T06:16:25Z</dcterms:created>
  <dcterms:modified xsi:type="dcterms:W3CDTF">2026-08-17T07:18:40Z</dcterms:modified>
</cp:coreProperties>
</file>